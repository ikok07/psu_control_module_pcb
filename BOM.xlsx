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k/PCB/psu_control_module/"/>
    </mc:Choice>
  </mc:AlternateContent>
  <xr:revisionPtr revIDLastSave="0" documentId="13_ncr:1_{64D956DA-EE23-E449-AA55-EBB10FA78828}" xr6:coauthVersionLast="47" xr6:coauthVersionMax="47" xr10:uidLastSave="{00000000-0000-0000-0000-000000000000}"/>
  <bookViews>
    <workbookView xWindow="0" yWindow="660" windowWidth="30240" windowHeight="18980" xr2:uid="{B0D79F4F-D64C-8947-A2F8-5FC1821B3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3" i="1"/>
  <c r="H4" i="1"/>
  <c r="H5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G27" i="1"/>
  <c r="H2" i="1"/>
  <c r="H27" i="1" l="1"/>
  <c r="K2" i="1" s="1"/>
  <c r="N2" i="1" s="1"/>
  <c r="O2" i="1" s="1"/>
</calcChain>
</file>

<file path=xl/sharedStrings.xml><?xml version="1.0" encoding="utf-8"?>
<sst xmlns="http://schemas.openxmlformats.org/spreadsheetml/2006/main" count="113" uniqueCount="79">
  <si>
    <t>Designator</t>
  </si>
  <si>
    <t>Price</t>
  </si>
  <si>
    <t>Total</t>
  </si>
  <si>
    <t>U1</t>
  </si>
  <si>
    <t>U2</t>
  </si>
  <si>
    <t>J1</t>
  </si>
  <si>
    <t>Extended</t>
  </si>
  <si>
    <t>yes</t>
  </si>
  <si>
    <t>PCBs Count</t>
  </si>
  <si>
    <t>Price per Unit</t>
  </si>
  <si>
    <t>Extended Fee</t>
  </si>
  <si>
    <t>Real Price per Unit</t>
  </si>
  <si>
    <t>Description</t>
  </si>
  <si>
    <t>Quantity</t>
  </si>
  <si>
    <t>Assembly Fee</t>
  </si>
  <si>
    <t>R11, R12</t>
  </si>
  <si>
    <t>Package</t>
  </si>
  <si>
    <t>C114088</t>
  </si>
  <si>
    <t>Molex Connector 02X12</t>
  </si>
  <si>
    <t>Molex Connector 02X02</t>
  </si>
  <si>
    <t>C588570</t>
  </si>
  <si>
    <t>Through Hole,P=4.2mm</t>
  </si>
  <si>
    <t>C181255</t>
  </si>
  <si>
    <t>QFN-16-EP(4x4)</t>
  </si>
  <si>
    <t>INA3221 Current &amp; Voltage Meas</t>
  </si>
  <si>
    <t>C201276</t>
  </si>
  <si>
    <t>1206</t>
  </si>
  <si>
    <t>N-Ch MOSFET</t>
  </si>
  <si>
    <t>C2828486</t>
  </si>
  <si>
    <t>SOP-8</t>
  </si>
  <si>
    <t>Capacitor Ceramic 100nF</t>
  </si>
  <si>
    <t>C1945</t>
  </si>
  <si>
    <t>C51205</t>
  </si>
  <si>
    <t>Capacitor Ceramic 4.7uF</t>
  </si>
  <si>
    <t>C50254</t>
  </si>
  <si>
    <t>Capacitor Ceramic 2.2uF</t>
  </si>
  <si>
    <t>C13832</t>
  </si>
  <si>
    <t>Capacitor Ceramic 1uF</t>
  </si>
  <si>
    <t>Resistor 10K</t>
  </si>
  <si>
    <t>C3013377</t>
  </si>
  <si>
    <t>Resistor 470</t>
  </si>
  <si>
    <t>C2930375</t>
  </si>
  <si>
    <t>Resistor 100</t>
  </si>
  <si>
    <t>Resistor 10</t>
  </si>
  <si>
    <t>Screw Terminals 01X04</t>
  </si>
  <si>
    <t>C2827883</t>
  </si>
  <si>
    <t>Through Hole,P=5.08mm</t>
  </si>
  <si>
    <t>Screw Terminals 01X02</t>
  </si>
  <si>
    <t>C709041</t>
  </si>
  <si>
    <t>C118825</t>
  </si>
  <si>
    <t>UFQFPN-48(7x7)</t>
  </si>
  <si>
    <t>STM32F401CBU6</t>
  </si>
  <si>
    <t>C1, C3, C5, C7, C8</t>
  </si>
  <si>
    <t>C2, C6</t>
  </si>
  <si>
    <t>C4</t>
  </si>
  <si>
    <t>C9, C10, C11</t>
  </si>
  <si>
    <t>R21, R22, RR23, R24, R25, R26</t>
  </si>
  <si>
    <t>J2</t>
  </si>
  <si>
    <t>Shunt Resistor 10m</t>
  </si>
  <si>
    <t>R10</t>
  </si>
  <si>
    <t>R9</t>
  </si>
  <si>
    <t>R13</t>
  </si>
  <si>
    <t>Shunt Resistor 8m</t>
  </si>
  <si>
    <t>Shunt Resistor 5m</t>
  </si>
  <si>
    <t>C7420039</t>
  </si>
  <si>
    <t>C7420012</t>
  </si>
  <si>
    <t>R1, R2, R3, R4, R5, R6, R14, R15, R16, R17</t>
  </si>
  <si>
    <t>Piezoelectric Buzzer</t>
  </si>
  <si>
    <t>Through Hole,D=22mm</t>
  </si>
  <si>
    <t>C464966</t>
  </si>
  <si>
    <t>J3, J6, J14</t>
  </si>
  <si>
    <t>Push button</t>
  </si>
  <si>
    <t>BZ1</t>
  </si>
  <si>
    <t>C2909692</t>
  </si>
  <si>
    <t>SMD</t>
  </si>
  <si>
    <t>J4, J5, J8, J9, J10, J11, J12, J13</t>
  </si>
  <si>
    <t>SW1</t>
  </si>
  <si>
    <t>R7, R8, R27</t>
  </si>
  <si>
    <t>Q5, 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</si>
</sst>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;_(@_)"/>
    <numFmt numFmtId="165" formatCode="[$€-2]\ #,##0.00"/>
  </numFmts>
  <fonts count="3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0" fontId="0" fillId="4" borderId="1" xfId="0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0" fontId="2" fillId="5" borderId="1" xfId="0" applyFont="1" applyFill="1" applyBorder="1"/>
    <xf numFmtId="164" fontId="2" fillId="6" borderId="2" xfId="0" applyNumberFormat="1" applyFont="1" applyFill="1" applyBorder="1"/>
    <xf numFmtId="164" fontId="2" fillId="7" borderId="2" xfId="0" applyNumberFormat="1" applyFont="1" applyFill="1" applyBorder="1"/>
    <xf numFmtId="49" fontId="0" fillId="3" borderId="1" xfId="0" applyNumberFormat="1" applyFill="1" applyBorder="1"/>
    <xf numFmtId="49" fontId="0" fillId="3" borderId="1" xfId="0" applyNumberFormat="1" applyFill="1" applyBorder="1" applyAlignment="1">
      <alignment wrapText="1"/>
    </xf>
    <xf numFmtId="37" fontId="2" fillId="7" borderId="2" xfId="0" applyNumberFormat="1" applyFont="1" applyFill="1" applyBorder="1"/>
    <xf numFmtId="165" fontId="0" fillId="3" borderId="1" xfId="0" applyNumberFormat="1" applyFill="1" applyBorder="1"/>
    <xf numFmtId="1" fontId="0" fillId="2" borderId="1" xfId="0" applyNumberFormat="1" applyFill="1" applyBorder="1"/>
    <xf numFmtId="1" fontId="0" fillId="3" borderId="1" xfId="0" applyNumberForma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666D-370A-2E4E-89F1-92B7DC6A7AF4}">
  <dimension ref="A1:O27"/>
  <sheetViews>
    <sheetView tabSelected="1" zoomScale="130" zoomScaleNormal="130" workbookViewId="0">
      <selection activeCell="E10" sqref="E10"/>
    </sheetView>
  </sheetViews>
  <sheetFormatPr baseColWidth="10" defaultRowHeight="16" x14ac:dyDescent="0.2"/>
  <cols>
    <col min="1" max="1" width="70" customWidth="1"/>
    <col min="2" max="2" width="41.6640625" bestFit="1" customWidth="1"/>
    <col min="3" max="3" width="21.33203125" bestFit="1" customWidth="1"/>
    <col min="4" max="4" width="17" customWidth="1"/>
    <col min="5" max="5" width="12.1640625" style="17" bestFit="1" customWidth="1"/>
    <col min="11" max="11" width="12.1640625" bestFit="1" customWidth="1"/>
    <col min="12" max="12" width="12.1640625" customWidth="1"/>
    <col min="13" max="13" width="13.83203125" customWidth="1"/>
    <col min="15" max="15" width="16.1640625" bestFit="1" customWidth="1"/>
  </cols>
  <sheetData>
    <row r="1" spans="1:15" x14ac:dyDescent="0.2">
      <c r="A1" s="1" t="s">
        <v>12</v>
      </c>
      <c r="B1" s="2" t="s">
        <v>0</v>
      </c>
      <c r="C1" s="2" t="s">
        <v>16</v>
      </c>
      <c r="E1" s="15" t="s">
        <v>13</v>
      </c>
      <c r="F1" s="8" t="s">
        <v>1</v>
      </c>
      <c r="G1" s="8" t="s">
        <v>6</v>
      </c>
      <c r="H1" s="8" t="s">
        <v>2</v>
      </c>
      <c r="J1" s="8" t="s">
        <v>8</v>
      </c>
      <c r="K1" s="8" t="s">
        <v>9</v>
      </c>
      <c r="L1" s="8" t="s">
        <v>14</v>
      </c>
      <c r="M1" s="8" t="s">
        <v>10</v>
      </c>
      <c r="N1" s="8" t="s">
        <v>2</v>
      </c>
      <c r="O1" s="8" t="s">
        <v>11</v>
      </c>
    </row>
    <row r="2" spans="1:15" x14ac:dyDescent="0.2">
      <c r="A2" s="3" t="s">
        <v>51</v>
      </c>
      <c r="B2" s="3" t="s">
        <v>3</v>
      </c>
      <c r="C2" s="11" t="s">
        <v>50</v>
      </c>
      <c r="D2" s="4" t="s">
        <v>49</v>
      </c>
      <c r="E2" s="16">
        <v>1</v>
      </c>
      <c r="F2" s="9">
        <v>3.08</v>
      </c>
      <c r="G2" s="9" t="s">
        <v>7</v>
      </c>
      <c r="H2" s="9">
        <f>E2*F2</f>
        <v>3.08</v>
      </c>
      <c r="J2" s="3">
        <v>2</v>
      </c>
      <c r="K2" s="4">
        <f>H27</f>
        <v>9.6069999999999993</v>
      </c>
      <c r="L2" s="4">
        <v>6.92</v>
      </c>
      <c r="M2" s="14">
        <v>2.6</v>
      </c>
      <c r="N2" s="4">
        <f>J2*K2 + M2*G27 + L2</f>
        <v>78.134</v>
      </c>
      <c r="O2" s="4">
        <f>N2/J2</f>
        <v>39.067</v>
      </c>
    </row>
    <row r="3" spans="1:15" ht="17" x14ac:dyDescent="0.2">
      <c r="A3" s="3" t="s">
        <v>18</v>
      </c>
      <c r="B3" s="3" t="s">
        <v>5</v>
      </c>
      <c r="C3" s="12" t="s">
        <v>21</v>
      </c>
      <c r="D3" s="4" t="s">
        <v>17</v>
      </c>
      <c r="E3" s="16">
        <v>1</v>
      </c>
      <c r="F3" s="9">
        <v>1.23</v>
      </c>
      <c r="G3" s="9" t="s">
        <v>7</v>
      </c>
      <c r="H3" s="9">
        <f t="shared" ref="H3:H26" si="0">E3*F3</f>
        <v>1.23</v>
      </c>
    </row>
    <row r="4" spans="1:15" x14ac:dyDescent="0.2">
      <c r="A4" s="3" t="s">
        <v>19</v>
      </c>
      <c r="B4" s="3" t="s">
        <v>57</v>
      </c>
      <c r="C4" s="11" t="s">
        <v>21</v>
      </c>
      <c r="D4" s="4" t="s">
        <v>20</v>
      </c>
      <c r="E4" s="16">
        <v>1</v>
      </c>
      <c r="F4" s="9">
        <v>0.45</v>
      </c>
      <c r="G4" s="9" t="s">
        <v>7</v>
      </c>
      <c r="H4" s="9">
        <f t="shared" si="0"/>
        <v>0.45</v>
      </c>
    </row>
    <row r="5" spans="1:15" x14ac:dyDescent="0.2">
      <c r="A5" s="3" t="s">
        <v>24</v>
      </c>
      <c r="B5" s="3" t="s">
        <v>4</v>
      </c>
      <c r="C5" s="11" t="s">
        <v>23</v>
      </c>
      <c r="D5" s="4" t="s">
        <v>22</v>
      </c>
      <c r="E5" s="16">
        <v>1</v>
      </c>
      <c r="F5" s="9">
        <v>1.1000000000000001</v>
      </c>
      <c r="G5" s="9" t="s">
        <v>7</v>
      </c>
      <c r="H5" s="9">
        <f t="shared" si="0"/>
        <v>1.1000000000000001</v>
      </c>
    </row>
    <row r="6" spans="1:15" x14ac:dyDescent="0.2">
      <c r="A6" s="3" t="s">
        <v>63</v>
      </c>
      <c r="B6" s="3" t="s">
        <v>61</v>
      </c>
      <c r="C6" s="11" t="s">
        <v>26</v>
      </c>
      <c r="D6" s="4" t="s">
        <v>64</v>
      </c>
      <c r="E6" s="16">
        <v>3</v>
      </c>
      <c r="F6" s="9">
        <v>0.04</v>
      </c>
      <c r="G6" s="9" t="s">
        <v>7</v>
      </c>
      <c r="H6" s="9">
        <f t="shared" ref="H6" si="1">E6*F6</f>
        <v>0.12</v>
      </c>
    </row>
    <row r="7" spans="1:15" x14ac:dyDescent="0.2">
      <c r="A7" s="3" t="s">
        <v>62</v>
      </c>
      <c r="B7" s="3" t="s">
        <v>59</v>
      </c>
      <c r="C7" s="11" t="s">
        <v>26</v>
      </c>
      <c r="D7" s="4" t="s">
        <v>65</v>
      </c>
      <c r="E7" s="16">
        <v>3</v>
      </c>
      <c r="F7" s="9">
        <v>0.04</v>
      </c>
      <c r="G7" s="9" t="s">
        <v>7</v>
      </c>
      <c r="H7" s="9">
        <f t="shared" ref="H7" si="2">E7*F7</f>
        <v>0.12</v>
      </c>
    </row>
    <row r="8" spans="1:15" x14ac:dyDescent="0.2">
      <c r="A8" s="3" t="s">
        <v>58</v>
      </c>
      <c r="B8" s="3" t="s">
        <v>60</v>
      </c>
      <c r="C8" s="11" t="s">
        <v>26</v>
      </c>
      <c r="D8" s="4" t="s">
        <v>25</v>
      </c>
      <c r="E8" s="16">
        <v>3</v>
      </c>
      <c r="F8" s="9">
        <v>0.04</v>
      </c>
      <c r="G8" s="9" t="s">
        <v>7</v>
      </c>
      <c r="H8" s="9">
        <f t="shared" si="0"/>
        <v>0.12</v>
      </c>
    </row>
    <row r="9" spans="1:15" x14ac:dyDescent="0.2">
      <c r="A9" s="3" t="s">
        <v>27</v>
      </c>
      <c r="B9" s="3" t="s">
        <v>78</v>
      </c>
      <c r="C9" s="11" t="s">
        <v>29</v>
      </c>
      <c r="D9" s="4" t="s">
        <v>28</v>
      </c>
      <c r="E9" s="16">
        <v>2</v>
      </c>
      <c r="F9" s="9">
        <v>0.13</v>
      </c>
      <c r="G9" s="9" t="s">
        <v>7</v>
      </c>
      <c r="H9" s="9">
        <f t="shared" si="0"/>
        <v>0.26</v>
      </c>
    </row>
    <row r="10" spans="1:15" x14ac:dyDescent="0.2">
      <c r="A10" s="3" t="s">
        <v>30</v>
      </c>
      <c r="B10" s="3" t="s">
        <v>52</v>
      </c>
      <c r="C10" s="11" t="s">
        <v>26</v>
      </c>
      <c r="D10" s="4" t="s">
        <v>31</v>
      </c>
      <c r="E10" s="16">
        <v>5</v>
      </c>
      <c r="F10" s="9">
        <v>1.47E-2</v>
      </c>
      <c r="G10" s="9" t="s">
        <v>7</v>
      </c>
      <c r="H10" s="9">
        <f t="shared" si="0"/>
        <v>7.3499999999999996E-2</v>
      </c>
    </row>
    <row r="11" spans="1:15" x14ac:dyDescent="0.2">
      <c r="A11" s="3" t="s">
        <v>33</v>
      </c>
      <c r="B11" s="3" t="s">
        <v>53</v>
      </c>
      <c r="C11" s="11" t="s">
        <v>26</v>
      </c>
      <c r="D11" s="4" t="s">
        <v>32</v>
      </c>
      <c r="E11" s="16">
        <v>2</v>
      </c>
      <c r="F11" s="9">
        <v>3.4299999999999997E-2</v>
      </c>
      <c r="G11" s="9" t="s">
        <v>7</v>
      </c>
      <c r="H11" s="9">
        <f t="shared" si="0"/>
        <v>6.8599999999999994E-2</v>
      </c>
    </row>
    <row r="12" spans="1:15" x14ac:dyDescent="0.2">
      <c r="A12" s="3" t="s">
        <v>35</v>
      </c>
      <c r="B12" s="3" t="s">
        <v>54</v>
      </c>
      <c r="C12" s="11" t="s">
        <v>26</v>
      </c>
      <c r="D12" s="4" t="s">
        <v>34</v>
      </c>
      <c r="E12" s="16">
        <v>1</v>
      </c>
      <c r="F12" s="9">
        <v>3.0200000000000001E-2</v>
      </c>
      <c r="G12" s="9" t="s">
        <v>7</v>
      </c>
      <c r="H12" s="9">
        <f t="shared" si="0"/>
        <v>3.0200000000000001E-2</v>
      </c>
    </row>
    <row r="13" spans="1:15" x14ac:dyDescent="0.2">
      <c r="A13" s="3" t="s">
        <v>37</v>
      </c>
      <c r="B13" s="3" t="s">
        <v>55</v>
      </c>
      <c r="C13" s="11" t="s">
        <v>26</v>
      </c>
      <c r="D13" s="4" t="s">
        <v>36</v>
      </c>
      <c r="E13" s="16">
        <v>3</v>
      </c>
      <c r="F13" s="9">
        <v>2.4899999999999999E-2</v>
      </c>
      <c r="G13" s="9" t="s">
        <v>7</v>
      </c>
      <c r="H13" s="9">
        <f t="shared" si="0"/>
        <v>7.4699999999999989E-2</v>
      </c>
    </row>
    <row r="14" spans="1:15" x14ac:dyDescent="0.2">
      <c r="A14" s="3" t="s">
        <v>38</v>
      </c>
      <c r="B14" s="3" t="s">
        <v>66</v>
      </c>
      <c r="C14" s="11" t="s">
        <v>26</v>
      </c>
      <c r="D14" s="4" t="s">
        <v>39</v>
      </c>
      <c r="E14" s="16">
        <v>10</v>
      </c>
      <c r="F14" s="9">
        <v>0.01</v>
      </c>
      <c r="G14" s="9" t="s">
        <v>7</v>
      </c>
      <c r="H14" s="9">
        <f t="shared" si="0"/>
        <v>0.1</v>
      </c>
    </row>
    <row r="15" spans="1:15" x14ac:dyDescent="0.2">
      <c r="A15" s="3" t="s">
        <v>40</v>
      </c>
      <c r="B15" s="3" t="s">
        <v>15</v>
      </c>
      <c r="C15" s="11" t="s">
        <v>26</v>
      </c>
      <c r="D15" s="4" t="s">
        <v>41</v>
      </c>
      <c r="E15" s="16">
        <v>2</v>
      </c>
      <c r="F15" s="9">
        <v>0.01</v>
      </c>
      <c r="G15" s="9" t="s">
        <v>7</v>
      </c>
      <c r="H15" s="9">
        <f t="shared" si="0"/>
        <v>0.02</v>
      </c>
    </row>
    <row r="16" spans="1:15" x14ac:dyDescent="0.2">
      <c r="A16" s="3" t="s">
        <v>42</v>
      </c>
      <c r="B16" s="3" t="s">
        <v>77</v>
      </c>
      <c r="C16" s="11" t="s">
        <v>26</v>
      </c>
      <c r="D16" s="4" t="s">
        <v>41</v>
      </c>
      <c r="E16" s="16">
        <v>3</v>
      </c>
      <c r="F16" s="9">
        <v>0.01</v>
      </c>
      <c r="G16" s="9" t="s">
        <v>7</v>
      </c>
      <c r="H16" s="9">
        <f t="shared" si="0"/>
        <v>0.03</v>
      </c>
    </row>
    <row r="17" spans="1:8" x14ac:dyDescent="0.2">
      <c r="A17" s="3" t="s">
        <v>43</v>
      </c>
      <c r="B17" s="3" t="s">
        <v>56</v>
      </c>
      <c r="C17" s="11" t="s">
        <v>26</v>
      </c>
      <c r="D17" s="4" t="s">
        <v>41</v>
      </c>
      <c r="E17" s="16">
        <v>6</v>
      </c>
      <c r="F17" s="9">
        <v>0.01</v>
      </c>
      <c r="G17" s="9" t="s">
        <v>7</v>
      </c>
      <c r="H17" s="9">
        <f t="shared" si="0"/>
        <v>0.06</v>
      </c>
    </row>
    <row r="18" spans="1:8" x14ac:dyDescent="0.2">
      <c r="A18" s="3" t="s">
        <v>44</v>
      </c>
      <c r="B18" s="3" t="s">
        <v>70</v>
      </c>
      <c r="C18" s="11" t="s">
        <v>46</v>
      </c>
      <c r="D18" s="4" t="s">
        <v>45</v>
      </c>
      <c r="E18" s="16">
        <v>3</v>
      </c>
      <c r="F18" s="9">
        <v>0.3</v>
      </c>
      <c r="G18" s="9" t="s">
        <v>7</v>
      </c>
      <c r="H18" s="9">
        <f t="shared" si="0"/>
        <v>0.89999999999999991</v>
      </c>
    </row>
    <row r="19" spans="1:8" x14ac:dyDescent="0.2">
      <c r="A19" s="3" t="s">
        <v>47</v>
      </c>
      <c r="B19" s="3" t="s">
        <v>75</v>
      </c>
      <c r="C19" s="11" t="s">
        <v>46</v>
      </c>
      <c r="D19" s="4" t="s">
        <v>48</v>
      </c>
      <c r="E19" s="16">
        <v>8</v>
      </c>
      <c r="F19" s="9">
        <v>0.13</v>
      </c>
      <c r="G19" s="9" t="s">
        <v>7</v>
      </c>
      <c r="H19" s="9">
        <f t="shared" si="0"/>
        <v>1.04</v>
      </c>
    </row>
    <row r="20" spans="1:8" x14ac:dyDescent="0.2">
      <c r="A20" s="3" t="s">
        <v>67</v>
      </c>
      <c r="B20" s="3" t="s">
        <v>72</v>
      </c>
      <c r="C20" s="11" t="s">
        <v>68</v>
      </c>
      <c r="D20" s="4" t="s">
        <v>69</v>
      </c>
      <c r="E20" s="16">
        <v>1</v>
      </c>
      <c r="F20" s="9">
        <v>0.65</v>
      </c>
      <c r="G20" s="9" t="s">
        <v>7</v>
      </c>
      <c r="H20" s="9">
        <f t="shared" si="0"/>
        <v>0.65</v>
      </c>
    </row>
    <row r="21" spans="1:8" x14ac:dyDescent="0.2">
      <c r="A21" s="3" t="s">
        <v>71</v>
      </c>
      <c r="B21" s="3" t="s">
        <v>76</v>
      </c>
      <c r="C21" s="11" t="s">
        <v>74</v>
      </c>
      <c r="D21" s="4" t="s">
        <v>73</v>
      </c>
      <c r="E21" s="16">
        <v>1</v>
      </c>
      <c r="F21" s="9">
        <v>0.08</v>
      </c>
      <c r="G21" s="9" t="s">
        <v>7</v>
      </c>
      <c r="H21" s="9">
        <f t="shared" si="0"/>
        <v>0.08</v>
      </c>
    </row>
    <row r="22" spans="1:8" x14ac:dyDescent="0.2">
      <c r="A22" s="3"/>
      <c r="B22" s="3"/>
      <c r="C22" s="11"/>
      <c r="D22" s="4"/>
      <c r="E22" s="16"/>
      <c r="F22" s="9"/>
      <c r="G22" s="9"/>
      <c r="H22" s="9">
        <f t="shared" si="0"/>
        <v>0</v>
      </c>
    </row>
    <row r="23" spans="1:8" x14ac:dyDescent="0.2">
      <c r="A23" s="3"/>
      <c r="B23" s="3"/>
      <c r="C23" s="11"/>
      <c r="D23" s="4"/>
      <c r="E23" s="16"/>
      <c r="F23" s="9"/>
      <c r="G23" s="9"/>
      <c r="H23" s="9">
        <f t="shared" si="0"/>
        <v>0</v>
      </c>
    </row>
    <row r="24" spans="1:8" x14ac:dyDescent="0.2">
      <c r="A24" s="3"/>
      <c r="B24" s="3"/>
      <c r="C24" s="11"/>
      <c r="D24" s="4"/>
      <c r="E24" s="16"/>
      <c r="F24" s="9"/>
      <c r="G24" s="9"/>
      <c r="H24" s="9">
        <f t="shared" si="0"/>
        <v>0</v>
      </c>
    </row>
    <row r="25" spans="1:8" x14ac:dyDescent="0.2">
      <c r="A25" s="3"/>
      <c r="B25" s="3"/>
      <c r="C25" s="11"/>
      <c r="D25" s="4"/>
      <c r="E25" s="16"/>
      <c r="F25" s="9"/>
      <c r="G25" s="9"/>
      <c r="H25" s="9">
        <f t="shared" si="0"/>
        <v>0</v>
      </c>
    </row>
    <row r="26" spans="1:8" x14ac:dyDescent="0.2">
      <c r="A26" s="3"/>
      <c r="B26" s="3"/>
      <c r="C26" s="11"/>
      <c r="D26" s="4"/>
      <c r="E26" s="16"/>
      <c r="F26" s="9"/>
      <c r="G26" s="9"/>
      <c r="H26" s="9">
        <f t="shared" si="0"/>
        <v>0</v>
      </c>
    </row>
    <row r="27" spans="1:8" x14ac:dyDescent="0.2">
      <c r="A27" s="5"/>
      <c r="B27" s="5"/>
      <c r="C27" s="6"/>
      <c r="D27" s="7"/>
      <c r="E27" s="6"/>
      <c r="F27" s="10"/>
      <c r="G27" s="13">
        <f>COUNTIF(G2:G26, "yes")</f>
        <v>20</v>
      </c>
      <c r="H27" s="10">
        <f>SUM(H2:H26)</f>
        <v>9.6069999999999993</v>
      </c>
    </row>
  </sheetData>
  <dataValidations count="1">
    <dataValidation type="list" allowBlank="1" showInputMessage="1" showErrorMessage="1" sqref="G2:G26" xr:uid="{DD5C8452-B611-4340-A3F9-99CD430A228C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Kaloyan Stefanov</dc:creator>
  <cp:lastModifiedBy>Kaloyan Stefanov</cp:lastModifiedBy>
  <dcterms:created xsi:type="dcterms:W3CDTF">2026-03-29T17:44:15Z</dcterms:created>
  <dcterms:modified xsi:type="dcterms:W3CDTF">2026-05-09T06:03:36Z</dcterms:modified>
</cp:coreProperties>
</file>